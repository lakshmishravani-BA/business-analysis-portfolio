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C5C4D2B-EFEE-4422-8FAB-23D192E7A9B4}" xr6:coauthVersionLast="47" xr6:coauthVersionMax="47" xr10:uidLastSave="{00000000-0000-0000-0000-000000000000}"/>
  <bookViews>
    <workbookView xWindow="-108" yWindow="-108" windowWidth="23256" windowHeight="12456" activeTab="2" xr2:uid="{F9D012BC-32D6-46E8-BDED-93EA0E1B3DFE}"/>
  </bookViews>
  <sheets>
    <sheet name="Raw Data" sheetId="1" r:id="rId1"/>
    <sheet name="Calculation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2" l="1"/>
  <c r="T4" i="2"/>
  <c r="T5" i="2"/>
  <c r="T6" i="2"/>
  <c r="T7" i="2"/>
  <c r="T3" i="2"/>
  <c r="Q7" i="2"/>
  <c r="Q6" i="2"/>
  <c r="Q5" i="2"/>
  <c r="Q4" i="2"/>
  <c r="Q3" i="2"/>
  <c r="J5" i="3"/>
  <c r="H5" i="3"/>
  <c r="F5" i="3"/>
  <c r="D5" i="3"/>
  <c r="B5" i="3"/>
  <c r="K2" i="2"/>
  <c r="K4" i="2"/>
  <c r="K3" i="2"/>
  <c r="H3" i="2"/>
  <c r="H4" i="2"/>
  <c r="H5" i="2"/>
  <c r="H2" i="2"/>
  <c r="E6" i="2"/>
  <c r="E5" i="2"/>
  <c r="E4" i="2"/>
  <c r="E3" i="2"/>
  <c r="E2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<sst xmlns="http://schemas.openxmlformats.org/spreadsheetml/2006/main" count="404" uniqueCount="95">
  <si>
    <t>Complaint_ID</t>
  </si>
  <si>
    <t>Category</t>
  </si>
  <si>
    <t>Channel</t>
  </si>
  <si>
    <t>Priority</t>
  </si>
  <si>
    <t>Resolution_Time_Hours</t>
  </si>
  <si>
    <t>Repeat_Contact</t>
  </si>
  <si>
    <t>Resolution_Status</t>
  </si>
  <si>
    <t>Root_Cause</t>
  </si>
  <si>
    <t>C001</t>
  </si>
  <si>
    <t>Delivery</t>
  </si>
  <si>
    <t>Email</t>
  </si>
  <si>
    <t>High</t>
  </si>
  <si>
    <t>Yes</t>
  </si>
  <si>
    <t>Resolved</t>
  </si>
  <si>
    <t>Delivery Delay</t>
  </si>
  <si>
    <t>C002</t>
  </si>
  <si>
    <t>Billing</t>
  </si>
  <si>
    <t>Phone</t>
  </si>
  <si>
    <t>Medium</t>
  </si>
  <si>
    <t>No</t>
  </si>
  <si>
    <t>Incorrect Invoice</t>
  </si>
  <si>
    <t>C003</t>
  </si>
  <si>
    <t>Product Quality</t>
  </si>
  <si>
    <t>Web</t>
  </si>
  <si>
    <t>Product Defect</t>
  </si>
  <si>
    <t>C004</t>
  </si>
  <si>
    <t>Chat</t>
  </si>
  <si>
    <t>C005</t>
  </si>
  <si>
    <t>Refund</t>
  </si>
  <si>
    <t>Refund Processing Delay</t>
  </si>
  <si>
    <t>C006</t>
  </si>
  <si>
    <t>Account</t>
  </si>
  <si>
    <t>Low</t>
  </si>
  <si>
    <t>Account Information Issue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</si>
  <si>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</si>
  <si>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</si>
  <si>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</si>
  <si>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</si>
  <si>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</si>
  <si>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</si>
  <si>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</si>
  <si>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</si>
  <si>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</si>
  <si>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</si>
  <si>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</si>
  <si>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</si>
  <si>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</si>
  <si>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</si>
  <si>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</si>
  <si>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</si>
  <si>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</si>
  <si>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</si>
  <si>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</si>
  <si>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</si>
  <si>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</si>
  <si>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</si>
  <si>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</si>
  <si>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</si>
  <si>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</si>
  <si>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</si>
  <si>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</si>
  <si>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</si>
  <si>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</si>
  <si>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</si>
  <si>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</si>
  <si>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</si>
  <si>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</si>
  <si>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</si>
  <si>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</si>
  <si>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</si>
  <si>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</si>
  <si>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</si>
  <si>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</si>
  <si>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</si>
  <si>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</si>
  <si>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</si>
  <si>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</si>
  <si>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</si>
  <si>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Complaint Date</t>
  </si>
  <si>
    <t>KPI</t>
  </si>
  <si>
    <t>Value</t>
  </si>
  <si>
    <t>Total Complaints</t>
  </si>
  <si>
    <t>Average Resolution Time (Hours)</t>
  </si>
  <si>
    <t>High-Priority Complaints</t>
  </si>
  <si>
    <t>Repeat Contact Rate</t>
  </si>
  <si>
    <t>Resolved Complaints</t>
  </si>
  <si>
    <t>Complaint Count</t>
  </si>
  <si>
    <t>Average Resolution Time</t>
  </si>
  <si>
    <t>Resolved Rate</t>
  </si>
  <si>
    <t>Resolved Complaints Rate</t>
  </si>
  <si>
    <t>Customer Complaint Analysis Dashboard</t>
  </si>
  <si>
    <t>Monthly Complaint Trend</t>
  </si>
  <si>
    <t>Month</t>
  </si>
  <si>
    <t>Root Cause Analysis</t>
  </si>
  <si>
    <t>Root 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</si>
</sst>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Segoe UI"/>
      <family val="2"/>
    </font>
    <font>
      <b/>
      <sz val="16"/>
      <color theme="1"/>
      <name val="Segoe U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967D2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1B784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9" fontId="4" fillId="5" borderId="0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8" xfId="0" applyNumberFormat="1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2" xfId="0" applyBorder="1" applyAlignment="1">
      <alignment horizontal="left"/>
    </xf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left"/>
    </xf>
    <xf numFmtId="9" fontId="0" fillId="0" borderId="1" xfId="1" applyFon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880E4F"/>
      <color rgb="FFE91E63"/>
      <color rgb="FFAD1457"/>
      <color rgb="FFE55B5B"/>
      <color rgb="FFC62828"/>
      <color rgb="FFE67E22"/>
      <color rgb="FF505050"/>
      <color rgb="FFBA68C8"/>
      <color rgb="FF8E44AD"/>
      <color rgb="FF6A1B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Complaints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Calculations!$E$1</c:f>
              <c:strCache>
                <c:ptCount val="1"/>
                <c:pt idx="0">
                  <c:v>Complaint Count</c:v>
                </c:pt>
              </c:strCache>
            </c:strRef>
          </c:tx>
          <c:spPr>
            <a:solidFill>
              <a:srgbClr val="1967D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F9-4D39-80E4-32F5D1F0D7A0}"/>
              </c:ext>
            </c:extLst>
          </c:dPt>
          <c:dPt>
            <c:idx val="2"/>
            <c:invertIfNegative val="0"/>
            <c:bubble3D val="0"/>
            <c:spPr>
              <a:solidFill>
                <a:srgbClr val="7BAA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F9-4D39-80E4-32F5D1F0D7A0}"/>
              </c:ext>
            </c:extLst>
          </c:dPt>
          <c:dPt>
            <c:idx val="3"/>
            <c:invertIfNegative val="0"/>
            <c:bubble3D val="0"/>
            <c:spPr>
              <a:solidFill>
                <a:srgbClr val="1E5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F9-4D39-80E4-32F5D1F0D7A0}"/>
              </c:ext>
            </c:extLst>
          </c:dPt>
          <c:dPt>
            <c:idx val="4"/>
            <c:invertIfNegative val="0"/>
            <c:bubble3D val="0"/>
            <c:spPr>
              <a:solidFill>
                <a:srgbClr val="90B8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D7C-4010-9593-8C34168C20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Calculations!$D$2:$D$6</c:f>
              <c:strCache>
                <c:ptCount val="5"/>
                <c:pt idx="0">
                  <c:v>Delivery</c:v>
                </c:pt>
                <c:pt idx="1">
                  <c:v>Billing</c:v>
                </c:pt>
                <c:pt idx="2">
                  <c:v>Product Quality</c:v>
                </c:pt>
                <c:pt idx="3">
                  <c:v>Refund</c:v>
                </c:pt>
                <c:pt idx="4">
                  <c:v>Account</c:v>
                </c:pt>
              </c:strCache>
            </c:strRef>
          </c:cat>
          <c:val>
            <c:numRef>
              <c:f>Calculations!$E$2:$E$6</c:f>
              <c:numCache>
                <c:formatCode>General</c:formatCode>
                <c:ptCount val="5"/>
                <c:pt idx="0">
                  <c:v>15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9-4D39-80E4-32F5D1F0D7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86571056"/>
        <c:axId val="86572496"/>
      </c:barChart>
      <c:catAx>
        <c:axId val="8657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Complaint Category</a:t>
                </a:r>
                <a:endParaRPr lang="en-IN" b="1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6572496"/>
        <c:crosses val="autoZero"/>
        <c:auto val="1"/>
        <c:lblAlgn val="ctr"/>
        <c:lblOffset val="100"/>
        <c:noMultiLvlLbl val="0"/>
      </c:catAx>
      <c:valAx>
        <c:axId val="8657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Number of Complaints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657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Complaints by Channel</a:t>
            </a:r>
            <a:endParaRPr lang="en-US" b="1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Calculations!$H$1</c:f>
              <c:strCache>
                <c:ptCount val="1"/>
                <c:pt idx="0">
                  <c:v>Complaint Count</c:v>
                </c:pt>
              </c:strCache>
            </c:strRef>
          </c:tx>
          <c:spPr>
            <a:solidFill>
              <a:srgbClr val="1B7843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1B784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0A-4F16-85F6-7FBC9649BB98}"/>
              </c:ext>
            </c:extLst>
          </c:dPt>
          <c:dPt>
            <c:idx val="1"/>
            <c:invertIfNegative val="0"/>
            <c:bubble3D val="0"/>
            <c:spPr>
              <a:solidFill>
                <a:srgbClr val="10A0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90A-4F16-85F6-7FBC9649BB98}"/>
              </c:ext>
            </c:extLst>
          </c:dPt>
          <c:dPt>
            <c:idx val="2"/>
            <c:invertIfNegative val="0"/>
            <c:bubble3D val="0"/>
            <c:spPr>
              <a:solidFill>
                <a:srgbClr val="66BB7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0A-4F16-85F6-7FBC9649BB98}"/>
              </c:ext>
            </c:extLst>
          </c:dPt>
          <c:dPt>
            <c:idx val="3"/>
            <c:invertIfNegative val="0"/>
            <c:bubble3D val="0"/>
            <c:spPr>
              <a:solidFill>
                <a:srgbClr val="00695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90A-4F16-85F6-7FBC9649BB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Calculations!$G$2:$G$5</c:f>
              <c:strCache>
                <c:ptCount val="4"/>
                <c:pt idx="0">
                  <c:v>Email</c:v>
                </c:pt>
                <c:pt idx="1">
                  <c:v>Phone</c:v>
                </c:pt>
                <c:pt idx="2">
                  <c:v>Web</c:v>
                </c:pt>
                <c:pt idx="3">
                  <c:v>Chat</c:v>
                </c:pt>
              </c:strCache>
            </c:strRef>
          </c:cat>
          <c:val>
            <c:numRef>
              <c:f>Calculations!$H$2:$H$5</c:f>
              <c:numCache>
                <c:formatCode>General</c:formatCode>
                <c:ptCount val="4"/>
                <c:pt idx="0">
                  <c:v>15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A-4F16-85F6-7FBC9649BB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86596016"/>
        <c:axId val="86599376"/>
      </c:barChart>
      <c:catAx>
        <c:axId val="8659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Channel</a:t>
                </a:r>
                <a:endParaRPr lang="en-IN" b="1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6599376"/>
        <c:crosses val="autoZero"/>
        <c:auto val="1"/>
        <c:lblAlgn val="ctr"/>
        <c:lblOffset val="100"/>
        <c:noMultiLvlLbl val="0"/>
      </c:catAx>
      <c:valAx>
        <c:axId val="8659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Number of Complaints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659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Average Resolution Time by Priority</a:t>
            </a:r>
            <a:endParaRPr lang="en-US" b="1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Calculations!$K$1</c:f>
              <c:strCache>
                <c:ptCount val="1"/>
                <c:pt idx="0">
                  <c:v>Average Resolution Time</c:v>
                </c:pt>
              </c:strCache>
            </c:strRef>
          </c:tx>
          <c:spPr>
            <a:solidFill>
              <a:srgbClr val="6A1B9A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6A1B9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41-477B-98D3-2210A263766A}"/>
              </c:ext>
            </c:extLst>
          </c:dPt>
          <c:dPt>
            <c:idx val="1"/>
            <c:invertIfNegative val="0"/>
            <c:bubble3D val="0"/>
            <c:spPr>
              <a:solidFill>
                <a:srgbClr val="8E44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E41-477B-98D3-2210A263766A}"/>
              </c:ext>
            </c:extLst>
          </c:dPt>
          <c:dPt>
            <c:idx val="2"/>
            <c:invertIfNegative val="0"/>
            <c:bubble3D val="0"/>
            <c:spPr>
              <a:solidFill>
                <a:srgbClr val="BA68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41-477B-98D3-2210A26376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Calculations!$J$2:$J$4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Calculations!$K$2:$K$4</c:f>
              <c:numCache>
                <c:formatCode>0.00</c:formatCode>
                <c:ptCount val="3"/>
                <c:pt idx="0">
                  <c:v>64.115384615384613</c:v>
                </c:pt>
                <c:pt idx="1">
                  <c:v>32.055555555555557</c:v>
                </c:pt>
                <c:pt idx="2">
                  <c:v>12.666666666666666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1-477B-98D3-2210A26376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86592656"/>
        <c:axId val="86594096"/>
      </c:barChart>
      <c:catAx>
        <c:axId val="8659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Priority</a:t>
                </a:r>
                <a:endParaRPr lang="en-IN" b="1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6594096"/>
        <c:crosses val="autoZero"/>
        <c:auto val="1"/>
        <c:lblAlgn val="ctr"/>
        <c:lblOffset val="100"/>
        <c:noMultiLvlLbl val="0"/>
      </c:catAx>
      <c:valAx>
        <c:axId val="8659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Average Resolution Time (Hours)</a:t>
                </a:r>
                <a:endParaRPr lang="en-IN" b="1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659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Monthly Complaint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Calculations!$Q$2</c:f>
              <c:strCache>
                <c:ptCount val="1"/>
                <c:pt idx="0">
                  <c:v>Complaint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solidFill>
                  <a:srgbClr val="505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D9E-4C40-BDB0-E477B6D6E05C}"/>
                </c:ext>
              </c:extLst>
            </c:dLbl>
            <c:dLbl>
              <c:idx val="1"/>
              <c:spPr>
                <a:solidFill>
                  <a:srgbClr val="505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D9E-4C40-BDB0-E477B6D6E05C}"/>
                </c:ext>
              </c:extLst>
            </c:dLbl>
            <c:dLbl>
              <c:idx val="2"/>
              <c:spPr>
                <a:solidFill>
                  <a:srgbClr val="505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ED9E-4C40-BDB0-E477B6D6E05C}"/>
                </c:ext>
              </c:extLst>
            </c:dLbl>
            <c:dLbl>
              <c:idx val="3"/>
              <c:spPr>
                <a:solidFill>
                  <a:srgbClr val="505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D9E-4C40-BDB0-E477B6D6E05C}"/>
                </c:ext>
              </c:extLst>
            </c:dLbl>
            <c:dLbl>
              <c:idx val="4"/>
              <c:spPr>
                <a:solidFill>
                  <a:srgbClr val="505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ED9E-4C40-BDB0-E477B6D6E0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 cmpd="sng">
                <a:solidFill>
                  <a:schemeClr val="accent2"/>
                </a:solidFill>
                <a:prstDash val="solid"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trendlineType val="linear"/>
            <c:dispRSqr val="0"/>
            <c:dispEq val="0"/>
          </c:trendline>
          <c:cat>
            <c:numRef>
              <c:f>Calculations!$P$3:$P$7</c:f>
              <c:numCache>
                <c:formatCode>mmm\-yy</c:formatCode>
                <c:ptCount val="5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</c:numCache>
            </c:numRef>
          </c:cat>
          <c:val>
            <c:numRef>
              <c:f>Calculations!$Q$3:$Q$7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85-48F2-9BA6-70E375A6F72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73465488"/>
        <c:axId val="1873465968"/>
      </c:lineChart>
      <c:dateAx>
        <c:axId val="1873465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solidFill>
            <a:srgbClr val="E67E22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873465968"/>
        <c:crosses val="autoZero"/>
        <c:auto val="1"/>
        <c:lblOffset val="100"/>
        <c:baseTimeUnit val="months"/>
      </c:dateAx>
      <c:valAx>
        <c:axId val="18734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 </a:t>
                </a:r>
                <a:r>
                  <a:rPr lang="en-IN" sz="1000" b="1" i="0" u="none" strike="noStrike" baseline="0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Number of Complaints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873465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Complaints by Root Cause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Calculations!$T$2</c:f>
              <c:strCache>
                <c:ptCount val="1"/>
                <c:pt idx="0">
                  <c:v>Complaint Count</c:v>
                </c:pt>
              </c:strCache>
            </c:strRef>
          </c:tx>
          <c:spPr>
            <a:solidFill>
              <a:srgbClr val="C62828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6282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F0-4B73-A1B4-F883316237F1}"/>
              </c:ext>
            </c:extLst>
          </c:dPt>
          <c:dPt>
            <c:idx val="1"/>
            <c:invertIfNegative val="0"/>
            <c:bubble3D val="0"/>
            <c:spPr>
              <a:solidFill>
                <a:srgbClr val="E55B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2F0-4B73-A1B4-F883316237F1}"/>
              </c:ext>
            </c:extLst>
          </c:dPt>
          <c:dPt>
            <c:idx val="2"/>
            <c:invertIfNegative val="0"/>
            <c:bubble3D val="0"/>
            <c:spPr>
              <a:solidFill>
                <a:srgbClr val="AD145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F0-4B73-A1B4-F883316237F1}"/>
              </c:ext>
            </c:extLst>
          </c:dPt>
          <c:dPt>
            <c:idx val="3"/>
            <c:invertIfNegative val="0"/>
            <c:bubble3D val="0"/>
            <c:spPr>
              <a:solidFill>
                <a:srgbClr val="E91E6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2F0-4B73-A1B4-F883316237F1}"/>
              </c:ext>
            </c:extLst>
          </c:dPt>
          <c:dPt>
            <c:idx val="4"/>
            <c:invertIfNegative val="0"/>
            <c:bubble3D val="0"/>
            <c:spPr>
              <a:solidFill>
                <a:srgbClr val="880E4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2F0-4B73-A1B4-F883316237F1}"/>
              </c:ext>
            </c:extLst>
          </c:dPt>
          <c:dLbls>
            <c:dLbl>
              <c:idx val="4"/>
              <c:tx>
                <c:rich>
                  <a:bodyPr/>
                  <a:lstStyle/>
                  <a:p>
                    <a:fld id="{3E9B8EDF-9148-472F-8381-9F00E57C6852}" type="VALUE">
                      <a:rPr lang="en-US" sz="1000" b="1"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2F0-4B73-A1B4-F883316237F1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Calculations!$S$3:$S$7</c:f>
              <c:strCache>
                <c:ptCount val="5"/>
                <c:pt idx="0">
                  <c:v>Delivery Delay</c:v>
                </c:pt>
                <c:pt idx="1">
                  <c:v>Incorrect Invoice</c:v>
                </c:pt>
                <c:pt idx="2">
                  <c:v>Product Defect</c:v>
                </c:pt>
                <c:pt idx="3">
                  <c:v>Refund Processing Delay</c:v>
                </c:pt>
                <c:pt idx="4">
                  <c:v>Account Information Issue</c:v>
                </c:pt>
              </c:strCache>
            </c:strRef>
          </c:cat>
          <c:val>
            <c:numRef>
              <c:f>Calculations!$T$3:$T$7</c:f>
              <c:numCache>
                <c:formatCode>General</c:formatCode>
                <c:ptCount val="5"/>
                <c:pt idx="0">
                  <c:v>15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F0-4B73-A1B4-F883316237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9287984"/>
        <c:axId val="1869288464"/>
      </c:barChart>
      <c:catAx>
        <c:axId val="1869287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Root</a:t>
                </a:r>
                <a:r>
                  <a:rPr lang="en-IN" b="1" baseline="0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  Cause</a:t>
                </a:r>
                <a:endParaRPr lang="en-IN" b="1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869288464"/>
        <c:crosses val="autoZero"/>
        <c:auto val="1"/>
        <c:lblAlgn val="ctr"/>
        <c:lblOffset val="100"/>
        <c:noMultiLvlLbl val="0"/>
      </c:catAx>
      <c:valAx>
        <c:axId val="186928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Number</a:t>
                </a:r>
                <a:r>
                  <a:rPr lang="en-IN" b="1" baseline="0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  of complaints</a:t>
                </a:r>
                <a:endParaRPr lang="en-IN" b="1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86928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7</xdr:row>
      <xdr:rowOff>0</xdr:rowOff>
    </xdr:from>
    <xdr:to>
      <xdr:col>8</xdr:col>
      <xdr:colOff>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D5813-8E00-499C-9479-D0C3D753E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7</xdr:row>
      <xdr:rowOff>0</xdr:rowOff>
    </xdr:from>
    <xdr:to>
      <xdr:col>16</xdr:col>
      <xdr:colOff>15240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F2F0BF-261C-4B7B-8CBE-56318224D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23</xdr:row>
      <xdr:rowOff>0</xdr:rowOff>
    </xdr:from>
    <xdr:to>
      <xdr:col>16</xdr:col>
      <xdr:colOff>7620</xdr:colOff>
      <xdr:row>38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C0FADB-2BB6-4232-820A-2976CA51C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16</xdr:col>
      <xdr:colOff>0</xdr:colOff>
      <xdr:row>56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FC6641-8CB1-4A33-ADA7-BB04AB3BE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16</xdr:col>
      <xdr:colOff>15240</xdr:colOff>
      <xdr:row>73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882B2F-CDAC-4B62-8B16-10384F797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4918-359D-43D3-906C-E7A76D3A81BD}">
  <dimension ref="A1:I51"/>
  <sheetViews>
    <sheetView workbookViewId="0">
      <selection activeCell="L10" sqref="L10"/>
    </sheetView>
  </sheetViews>
  <sheetFormatPr defaultRowHeight="14.4" x14ac:dyDescent="0.3"/>
  <cols>
    <col min="1" max="1" width="12.88671875" customWidth="1"/>
    <col min="2" max="2" width="17.77734375" customWidth="1"/>
    <col min="3" max="3" width="15.21875" customWidth="1"/>
    <col min="4" max="4" width="12.44140625" customWidth="1"/>
    <col min="5" max="5" width="11.6640625" customWidth="1"/>
    <col min="6" max="6" width="25" customWidth="1"/>
    <col min="7" max="7" width="17.6640625" customWidth="1"/>
    <col min="8" max="8" width="17.44140625" customWidth="1"/>
    <col min="9" max="9" width="24.5546875" customWidth="1"/>
  </cols>
  <sheetData>
    <row r="1" spans="1:9" ht="15" thickBot="1" x14ac:dyDescent="0.35">
      <c r="A1" s="21" t="s">
        <v>0</v>
      </c>
      <c r="B1" s="22" t="s">
        <v>78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3" t="s">
        <v>7</v>
      </c>
    </row>
    <row r="2" spans="1:9" x14ac:dyDescent="0.3">
      <c r="A2" s="24" t="s">
        <v>8</v>
      </c>
      <c r="B2" s="25">
        <v>46027</v>
      </c>
      <c r="C2" s="26" t="s">
        <v>9</v>
      </c>
      <c r="D2" s="27" t="s">
        <v>10</v>
      </c>
      <c r="E2" s="27" t="s">
        <v>11</v>
      </c>
      <c r="F2" s="28">
        <v>48</v>
      </c>
      <c r="G2" s="27" t="s">
        <v>12</v>
      </c>
      <c r="H2" s="27" t="s">
        <v>13</v>
      </c>
      <c r="I2" s="29" t="s">
        <v>14</v>
      </c>
    </row>
    <row r="3" spans="1:9" x14ac:dyDescent="0.3">
      <c r="A3" s="13" t="s">
        <v>15</v>
      </c>
      <c r="B3" s="10">
        <v>46029</v>
      </c>
      <c r="C3" s="11" t="s">
        <v>16</v>
      </c>
      <c r="D3" s="9" t="s">
        <v>17</v>
      </c>
      <c r="E3" s="9" t="s">
        <v>18</v>
      </c>
      <c r="F3" s="12">
        <v>24</v>
      </c>
      <c r="G3" s="9" t="s">
        <v>19</v>
      </c>
      <c r="H3" s="9" t="s">
        <v>13</v>
      </c>
      <c r="I3" s="14" t="s">
        <v>20</v>
      </c>
    </row>
    <row r="4" spans="1:9" x14ac:dyDescent="0.3">
      <c r="A4" s="13" t="s">
        <v>21</v>
      </c>
      <c r="B4" s="10">
        <v>46032</v>
      </c>
      <c r="C4" s="11" t="s">
        <v>22</v>
      </c>
      <c r="D4" s="9" t="s">
        <v>23</v>
      </c>
      <c r="E4" s="9" t="s">
        <v>11</v>
      </c>
      <c r="F4" s="12">
        <v>72</v>
      </c>
      <c r="G4" s="9" t="s">
        <v>12</v>
      </c>
      <c r="H4" s="9" t="s">
        <v>13</v>
      </c>
      <c r="I4" s="14" t="s">
        <v>24</v>
      </c>
    </row>
    <row r="5" spans="1:9" x14ac:dyDescent="0.3">
      <c r="A5" s="13" t="s">
        <v>25</v>
      </c>
      <c r="B5" s="10">
        <v>46034</v>
      </c>
      <c r="C5" s="11" t="s">
        <v>9</v>
      </c>
      <c r="D5" s="9" t="s">
        <v>26</v>
      </c>
      <c r="E5" s="9" t="s">
        <v>18</v>
      </c>
      <c r="F5" s="12">
        <v>36</v>
      </c>
      <c r="G5" s="9" t="s">
        <v>19</v>
      </c>
      <c r="H5" s="9" t="s">
        <v>13</v>
      </c>
      <c r="I5" s="14" t="s">
        <v>14</v>
      </c>
    </row>
    <row r="6" spans="1:9" x14ac:dyDescent="0.3">
      <c r="A6" s="13" t="s">
        <v>27</v>
      </c>
      <c r="B6" s="10">
        <v>46037</v>
      </c>
      <c r="C6" s="11" t="s">
        <v>28</v>
      </c>
      <c r="D6" s="9" t="s">
        <v>10</v>
      </c>
      <c r="E6" s="9" t="s">
        <v>11</v>
      </c>
      <c r="F6" s="12">
        <v>60</v>
      </c>
      <c r="G6" s="9" t="s">
        <v>12</v>
      </c>
      <c r="H6" s="9" t="s">
        <v>13</v>
      </c>
      <c r="I6" s="14" t="s">
        <v>29</v>
      </c>
    </row>
    <row r="7" spans="1:9" x14ac:dyDescent="0.3">
      <c r="A7" s="13" t="s">
        <v>30</v>
      </c>
      <c r="B7" s="10">
        <v>46040</v>
      </c>
      <c r="C7" s="11" t="s">
        <v>31</v>
      </c>
      <c r="D7" s="9" t="s">
        <v>17</v>
      </c>
      <c r="E7" s="9" t="s">
        <v>32</v>
      </c>
      <c r="F7" s="12">
        <v>12</v>
      </c>
      <c r="G7" s="9" t="s">
        <v>19</v>
      </c>
      <c r="H7" s="9" t="s">
        <v>13</v>
      </c>
      <c r="I7" s="14" t="s">
        <v>33</v>
      </c>
    </row>
    <row r="8" spans="1:9" x14ac:dyDescent="0.3">
      <c r="A8" s="13" t="s">
        <v>34</v>
      </c>
      <c r="B8" s="10">
        <v>46042</v>
      </c>
      <c r="C8" s="11" t="s">
        <v>9</v>
      </c>
      <c r="D8" s="9" t="s">
        <v>17</v>
      </c>
      <c r="E8" s="9" t="s">
        <v>11</v>
      </c>
      <c r="F8" s="12">
        <v>54</v>
      </c>
      <c r="G8" s="9" t="s">
        <v>12</v>
      </c>
      <c r="H8" s="9" t="s">
        <v>13</v>
      </c>
      <c r="I8" s="14" t="s">
        <v>14</v>
      </c>
    </row>
    <row r="9" spans="1:9" x14ac:dyDescent="0.3">
      <c r="A9" s="13" t="s">
        <v>35</v>
      </c>
      <c r="B9" s="10">
        <v>46045</v>
      </c>
      <c r="C9" s="11" t="s">
        <v>16</v>
      </c>
      <c r="D9" s="9" t="s">
        <v>10</v>
      </c>
      <c r="E9" s="9" t="s">
        <v>18</v>
      </c>
      <c r="F9" s="12">
        <v>30</v>
      </c>
      <c r="G9" s="9" t="s">
        <v>19</v>
      </c>
      <c r="H9" s="9" t="s">
        <v>13</v>
      </c>
      <c r="I9" s="14" t="s">
        <v>20</v>
      </c>
    </row>
    <row r="10" spans="1:9" x14ac:dyDescent="0.3">
      <c r="A10" s="13" t="s">
        <v>36</v>
      </c>
      <c r="B10" s="10">
        <v>46048</v>
      </c>
      <c r="C10" s="11" t="s">
        <v>22</v>
      </c>
      <c r="D10" s="9" t="s">
        <v>23</v>
      </c>
      <c r="E10" s="9" t="s">
        <v>11</v>
      </c>
      <c r="F10" s="12">
        <v>80</v>
      </c>
      <c r="G10" s="9" t="s">
        <v>12</v>
      </c>
      <c r="H10" s="9" t="s">
        <v>13</v>
      </c>
      <c r="I10" s="14" t="s">
        <v>24</v>
      </c>
    </row>
    <row r="11" spans="1:9" x14ac:dyDescent="0.3">
      <c r="A11" s="13" t="s">
        <v>37</v>
      </c>
      <c r="B11" s="10">
        <v>46051</v>
      </c>
      <c r="C11" s="11" t="s">
        <v>28</v>
      </c>
      <c r="D11" s="9" t="s">
        <v>26</v>
      </c>
      <c r="E11" s="9" t="s">
        <v>18</v>
      </c>
      <c r="F11" s="12">
        <v>42</v>
      </c>
      <c r="G11" s="9" t="s">
        <v>19</v>
      </c>
      <c r="H11" s="9" t="s">
        <v>13</v>
      </c>
      <c r="I11" s="14" t="s">
        <v>29</v>
      </c>
    </row>
    <row r="12" spans="1:9" x14ac:dyDescent="0.3">
      <c r="A12" s="13" t="s">
        <v>38</v>
      </c>
      <c r="B12" s="10">
        <v>46055</v>
      </c>
      <c r="C12" s="11" t="s">
        <v>9</v>
      </c>
      <c r="D12" s="9" t="s">
        <v>10</v>
      </c>
      <c r="E12" s="9" t="s">
        <v>11</v>
      </c>
      <c r="F12" s="12">
        <v>52</v>
      </c>
      <c r="G12" s="9" t="s">
        <v>12</v>
      </c>
      <c r="H12" s="9" t="s">
        <v>13</v>
      </c>
      <c r="I12" s="14" t="s">
        <v>14</v>
      </c>
    </row>
    <row r="13" spans="1:9" x14ac:dyDescent="0.3">
      <c r="A13" s="13" t="s">
        <v>39</v>
      </c>
      <c r="B13" s="10">
        <v>46057</v>
      </c>
      <c r="C13" s="11" t="s">
        <v>16</v>
      </c>
      <c r="D13" s="9" t="s">
        <v>17</v>
      </c>
      <c r="E13" s="9" t="s">
        <v>18</v>
      </c>
      <c r="F13" s="12">
        <v>26</v>
      </c>
      <c r="G13" s="9" t="s">
        <v>19</v>
      </c>
      <c r="H13" s="9" t="s">
        <v>13</v>
      </c>
      <c r="I13" s="14" t="s">
        <v>20</v>
      </c>
    </row>
    <row r="14" spans="1:9" x14ac:dyDescent="0.3">
      <c r="A14" s="13" t="s">
        <v>40</v>
      </c>
      <c r="B14" s="10">
        <v>46059</v>
      </c>
      <c r="C14" s="11" t="s">
        <v>31</v>
      </c>
      <c r="D14" s="9" t="s">
        <v>26</v>
      </c>
      <c r="E14" s="9" t="s">
        <v>32</v>
      </c>
      <c r="F14" s="12">
        <v>10</v>
      </c>
      <c r="G14" s="9" t="s">
        <v>19</v>
      </c>
      <c r="H14" s="9" t="s">
        <v>13</v>
      </c>
      <c r="I14" s="14" t="s">
        <v>33</v>
      </c>
    </row>
    <row r="15" spans="1:9" x14ac:dyDescent="0.3">
      <c r="A15" s="13" t="s">
        <v>41</v>
      </c>
      <c r="B15" s="10">
        <v>46062</v>
      </c>
      <c r="C15" s="11" t="s">
        <v>22</v>
      </c>
      <c r="D15" s="9" t="s">
        <v>10</v>
      </c>
      <c r="E15" s="9" t="s">
        <v>11</v>
      </c>
      <c r="F15" s="12">
        <v>68</v>
      </c>
      <c r="G15" s="9" t="s">
        <v>12</v>
      </c>
      <c r="H15" s="9" t="s">
        <v>13</v>
      </c>
      <c r="I15" s="14" t="s">
        <v>24</v>
      </c>
    </row>
    <row r="16" spans="1:9" x14ac:dyDescent="0.3">
      <c r="A16" s="13" t="s">
        <v>42</v>
      </c>
      <c r="B16" s="10">
        <v>46064</v>
      </c>
      <c r="C16" s="11" t="s">
        <v>9</v>
      </c>
      <c r="D16" s="9" t="s">
        <v>23</v>
      </c>
      <c r="E16" s="9" t="s">
        <v>18</v>
      </c>
      <c r="F16" s="12">
        <v>40</v>
      </c>
      <c r="G16" s="9" t="s">
        <v>19</v>
      </c>
      <c r="H16" s="9" t="s">
        <v>13</v>
      </c>
      <c r="I16" s="14" t="s">
        <v>14</v>
      </c>
    </row>
    <row r="17" spans="1:9" x14ac:dyDescent="0.3">
      <c r="A17" s="13" t="s">
        <v>43</v>
      </c>
      <c r="B17" s="10">
        <v>46067</v>
      </c>
      <c r="C17" s="11" t="s">
        <v>28</v>
      </c>
      <c r="D17" s="9" t="s">
        <v>17</v>
      </c>
      <c r="E17" s="9" t="s">
        <v>11</v>
      </c>
      <c r="F17" s="12">
        <v>64</v>
      </c>
      <c r="G17" s="9" t="s">
        <v>12</v>
      </c>
      <c r="H17" s="9" t="s">
        <v>13</v>
      </c>
      <c r="I17" s="14" t="s">
        <v>29</v>
      </c>
    </row>
    <row r="18" spans="1:9" x14ac:dyDescent="0.3">
      <c r="A18" s="13" t="s">
        <v>44</v>
      </c>
      <c r="B18" s="10">
        <v>46070</v>
      </c>
      <c r="C18" s="11" t="s">
        <v>16</v>
      </c>
      <c r="D18" s="9" t="s">
        <v>26</v>
      </c>
      <c r="E18" s="9" t="s">
        <v>18</v>
      </c>
      <c r="F18" s="12">
        <v>28</v>
      </c>
      <c r="G18" s="9" t="s">
        <v>19</v>
      </c>
      <c r="H18" s="9" t="s">
        <v>13</v>
      </c>
      <c r="I18" s="14" t="s">
        <v>20</v>
      </c>
    </row>
    <row r="19" spans="1:9" x14ac:dyDescent="0.3">
      <c r="A19" s="13" t="s">
        <v>45</v>
      </c>
      <c r="B19" s="10">
        <v>46073</v>
      </c>
      <c r="C19" s="11" t="s">
        <v>9</v>
      </c>
      <c r="D19" s="9" t="s">
        <v>17</v>
      </c>
      <c r="E19" s="9" t="s">
        <v>11</v>
      </c>
      <c r="F19" s="12">
        <v>58</v>
      </c>
      <c r="G19" s="9" t="s">
        <v>12</v>
      </c>
      <c r="H19" s="9" t="s">
        <v>13</v>
      </c>
      <c r="I19" s="14" t="s">
        <v>14</v>
      </c>
    </row>
    <row r="20" spans="1:9" x14ac:dyDescent="0.3">
      <c r="A20" s="13" t="s">
        <v>46</v>
      </c>
      <c r="B20" s="10">
        <v>46076</v>
      </c>
      <c r="C20" s="11" t="s">
        <v>22</v>
      </c>
      <c r="D20" s="9" t="s">
        <v>23</v>
      </c>
      <c r="E20" s="9" t="s">
        <v>11</v>
      </c>
      <c r="F20" s="12">
        <v>76</v>
      </c>
      <c r="G20" s="9" t="s">
        <v>12</v>
      </c>
      <c r="H20" s="9" t="s">
        <v>13</v>
      </c>
      <c r="I20" s="14" t="s">
        <v>24</v>
      </c>
    </row>
    <row r="21" spans="1:9" x14ac:dyDescent="0.3">
      <c r="A21" s="13" t="s">
        <v>47</v>
      </c>
      <c r="B21" s="10">
        <v>46079</v>
      </c>
      <c r="C21" s="11" t="s">
        <v>31</v>
      </c>
      <c r="D21" s="9" t="s">
        <v>10</v>
      </c>
      <c r="E21" s="9" t="s">
        <v>32</v>
      </c>
      <c r="F21" s="12">
        <v>14</v>
      </c>
      <c r="G21" s="9" t="s">
        <v>19</v>
      </c>
      <c r="H21" s="9" t="s">
        <v>13</v>
      </c>
      <c r="I21" s="14" t="s">
        <v>33</v>
      </c>
    </row>
    <row r="22" spans="1:9" x14ac:dyDescent="0.3">
      <c r="A22" s="13" t="s">
        <v>48</v>
      </c>
      <c r="B22" s="10">
        <v>46082</v>
      </c>
      <c r="C22" s="11" t="s">
        <v>9</v>
      </c>
      <c r="D22" s="9" t="s">
        <v>10</v>
      </c>
      <c r="E22" s="9" t="s">
        <v>11</v>
      </c>
      <c r="F22" s="12">
        <v>50</v>
      </c>
      <c r="G22" s="9" t="s">
        <v>12</v>
      </c>
      <c r="H22" s="9" t="s">
        <v>13</v>
      </c>
      <c r="I22" s="14" t="s">
        <v>14</v>
      </c>
    </row>
    <row r="23" spans="1:9" x14ac:dyDescent="0.3">
      <c r="A23" s="13" t="s">
        <v>49</v>
      </c>
      <c r="B23" s="10">
        <v>46084</v>
      </c>
      <c r="C23" s="11" t="s">
        <v>16</v>
      </c>
      <c r="D23" s="9" t="s">
        <v>17</v>
      </c>
      <c r="E23" s="9" t="s">
        <v>18</v>
      </c>
      <c r="F23" s="12">
        <v>22</v>
      </c>
      <c r="G23" s="9" t="s">
        <v>19</v>
      </c>
      <c r="H23" s="9" t="s">
        <v>13</v>
      </c>
      <c r="I23" s="14" t="s">
        <v>20</v>
      </c>
    </row>
    <row r="24" spans="1:9" x14ac:dyDescent="0.3">
      <c r="A24" s="13" t="s">
        <v>50</v>
      </c>
      <c r="B24" s="10">
        <v>46086</v>
      </c>
      <c r="C24" s="11" t="s">
        <v>28</v>
      </c>
      <c r="D24" s="9" t="s">
        <v>23</v>
      </c>
      <c r="E24" s="9" t="s">
        <v>11</v>
      </c>
      <c r="F24" s="12">
        <v>70</v>
      </c>
      <c r="G24" s="9" t="s">
        <v>12</v>
      </c>
      <c r="H24" s="9" t="s">
        <v>13</v>
      </c>
      <c r="I24" s="14" t="s">
        <v>29</v>
      </c>
    </row>
    <row r="25" spans="1:9" x14ac:dyDescent="0.3">
      <c r="A25" s="13" t="s">
        <v>51</v>
      </c>
      <c r="B25" s="10">
        <v>46089</v>
      </c>
      <c r="C25" s="11" t="s">
        <v>22</v>
      </c>
      <c r="D25" s="9" t="s">
        <v>26</v>
      </c>
      <c r="E25" s="9" t="s">
        <v>11</v>
      </c>
      <c r="F25" s="12">
        <v>74</v>
      </c>
      <c r="G25" s="9" t="s">
        <v>12</v>
      </c>
      <c r="H25" s="9" t="s">
        <v>13</v>
      </c>
      <c r="I25" s="14" t="s">
        <v>24</v>
      </c>
    </row>
    <row r="26" spans="1:9" x14ac:dyDescent="0.3">
      <c r="A26" s="13" t="s">
        <v>52</v>
      </c>
      <c r="B26" s="10">
        <v>46091</v>
      </c>
      <c r="C26" s="11" t="s">
        <v>9</v>
      </c>
      <c r="D26" s="9" t="s">
        <v>17</v>
      </c>
      <c r="E26" s="9" t="s">
        <v>18</v>
      </c>
      <c r="F26" s="12">
        <v>34</v>
      </c>
      <c r="G26" s="9" t="s">
        <v>19</v>
      </c>
      <c r="H26" s="9" t="s">
        <v>13</v>
      </c>
      <c r="I26" s="14" t="s">
        <v>14</v>
      </c>
    </row>
    <row r="27" spans="1:9" x14ac:dyDescent="0.3">
      <c r="A27" s="13" t="s">
        <v>53</v>
      </c>
      <c r="B27" s="10">
        <v>46094</v>
      </c>
      <c r="C27" s="11" t="s">
        <v>31</v>
      </c>
      <c r="D27" s="9" t="s">
        <v>10</v>
      </c>
      <c r="E27" s="9" t="s">
        <v>32</v>
      </c>
      <c r="F27" s="12">
        <v>16</v>
      </c>
      <c r="G27" s="9" t="s">
        <v>19</v>
      </c>
      <c r="H27" s="9" t="s">
        <v>13</v>
      </c>
      <c r="I27" s="14" t="s">
        <v>33</v>
      </c>
    </row>
    <row r="28" spans="1:9" x14ac:dyDescent="0.3">
      <c r="A28" s="13" t="s">
        <v>54</v>
      </c>
      <c r="B28" s="10">
        <v>46097</v>
      </c>
      <c r="C28" s="11" t="s">
        <v>16</v>
      </c>
      <c r="D28" s="9" t="s">
        <v>26</v>
      </c>
      <c r="E28" s="9" t="s">
        <v>18</v>
      </c>
      <c r="F28" s="12">
        <v>32</v>
      </c>
      <c r="G28" s="9" t="s">
        <v>19</v>
      </c>
      <c r="H28" s="9" t="s">
        <v>13</v>
      </c>
      <c r="I28" s="14" t="s">
        <v>20</v>
      </c>
    </row>
    <row r="29" spans="1:9" x14ac:dyDescent="0.3">
      <c r="A29" s="13" t="s">
        <v>55</v>
      </c>
      <c r="B29" s="10">
        <v>46100</v>
      </c>
      <c r="C29" s="11" t="s">
        <v>9</v>
      </c>
      <c r="D29" s="9" t="s">
        <v>23</v>
      </c>
      <c r="E29" s="9" t="s">
        <v>11</v>
      </c>
      <c r="F29" s="12">
        <v>56</v>
      </c>
      <c r="G29" s="9" t="s">
        <v>12</v>
      </c>
      <c r="H29" s="9" t="s">
        <v>13</v>
      </c>
      <c r="I29" s="14" t="s">
        <v>14</v>
      </c>
    </row>
    <row r="30" spans="1:9" x14ac:dyDescent="0.3">
      <c r="A30" s="13" t="s">
        <v>56</v>
      </c>
      <c r="B30" s="10">
        <v>46103</v>
      </c>
      <c r="C30" s="11" t="s">
        <v>22</v>
      </c>
      <c r="D30" s="9" t="s">
        <v>10</v>
      </c>
      <c r="E30" s="9" t="s">
        <v>11</v>
      </c>
      <c r="F30" s="12">
        <v>82</v>
      </c>
      <c r="G30" s="9" t="s">
        <v>12</v>
      </c>
      <c r="H30" s="9" t="s">
        <v>13</v>
      </c>
      <c r="I30" s="14" t="s">
        <v>24</v>
      </c>
    </row>
    <row r="31" spans="1:9" x14ac:dyDescent="0.3">
      <c r="A31" s="13" t="s">
        <v>57</v>
      </c>
      <c r="B31" s="10">
        <v>46106</v>
      </c>
      <c r="C31" s="11" t="s">
        <v>28</v>
      </c>
      <c r="D31" s="9" t="s">
        <v>17</v>
      </c>
      <c r="E31" s="9" t="s">
        <v>11</v>
      </c>
      <c r="F31" s="12">
        <v>62</v>
      </c>
      <c r="G31" s="9" t="s">
        <v>12</v>
      </c>
      <c r="H31" s="9" t="s">
        <v>13</v>
      </c>
      <c r="I31" s="14" t="s">
        <v>29</v>
      </c>
    </row>
    <row r="32" spans="1:9" x14ac:dyDescent="0.3">
      <c r="A32" s="13" t="s">
        <v>58</v>
      </c>
      <c r="B32" s="10">
        <v>46113</v>
      </c>
      <c r="C32" s="11" t="s">
        <v>9</v>
      </c>
      <c r="D32" s="9" t="s">
        <v>10</v>
      </c>
      <c r="E32" s="9" t="s">
        <v>11</v>
      </c>
      <c r="F32" s="12">
        <v>46</v>
      </c>
      <c r="G32" s="9" t="s">
        <v>12</v>
      </c>
      <c r="H32" s="9" t="s">
        <v>13</v>
      </c>
      <c r="I32" s="14" t="s">
        <v>14</v>
      </c>
    </row>
    <row r="33" spans="1:9" x14ac:dyDescent="0.3">
      <c r="A33" s="13" t="s">
        <v>59</v>
      </c>
      <c r="B33" s="10">
        <v>46116</v>
      </c>
      <c r="C33" s="11" t="s">
        <v>16</v>
      </c>
      <c r="D33" s="9" t="s">
        <v>17</v>
      </c>
      <c r="E33" s="9" t="s">
        <v>18</v>
      </c>
      <c r="F33" s="12">
        <v>25</v>
      </c>
      <c r="G33" s="9" t="s">
        <v>19</v>
      </c>
      <c r="H33" s="9" t="s">
        <v>13</v>
      </c>
      <c r="I33" s="14" t="s">
        <v>20</v>
      </c>
    </row>
    <row r="34" spans="1:9" x14ac:dyDescent="0.3">
      <c r="A34" s="13" t="s">
        <v>60</v>
      </c>
      <c r="B34" s="10">
        <v>46119</v>
      </c>
      <c r="C34" s="11" t="s">
        <v>22</v>
      </c>
      <c r="D34" s="9" t="s">
        <v>23</v>
      </c>
      <c r="E34" s="9" t="s">
        <v>11</v>
      </c>
      <c r="F34" s="12">
        <v>78</v>
      </c>
      <c r="G34" s="9" t="s">
        <v>12</v>
      </c>
      <c r="H34" s="9" t="s">
        <v>13</v>
      </c>
      <c r="I34" s="14" t="s">
        <v>24</v>
      </c>
    </row>
    <row r="35" spans="1:9" x14ac:dyDescent="0.3">
      <c r="A35" s="13" t="s">
        <v>61</v>
      </c>
      <c r="B35" s="10">
        <v>46122</v>
      </c>
      <c r="C35" s="11" t="s">
        <v>28</v>
      </c>
      <c r="D35" s="9" t="s">
        <v>26</v>
      </c>
      <c r="E35" s="9" t="s">
        <v>18</v>
      </c>
      <c r="F35" s="12">
        <v>38</v>
      </c>
      <c r="G35" s="9" t="s">
        <v>19</v>
      </c>
      <c r="H35" s="9" t="s">
        <v>13</v>
      </c>
      <c r="I35" s="14" t="s">
        <v>29</v>
      </c>
    </row>
    <row r="36" spans="1:9" x14ac:dyDescent="0.3">
      <c r="A36" s="13" t="s">
        <v>62</v>
      </c>
      <c r="B36" s="10">
        <v>46125</v>
      </c>
      <c r="C36" s="11" t="s">
        <v>9</v>
      </c>
      <c r="D36" s="9" t="s">
        <v>17</v>
      </c>
      <c r="E36" s="9" t="s">
        <v>11</v>
      </c>
      <c r="F36" s="12">
        <v>55</v>
      </c>
      <c r="G36" s="9" t="s">
        <v>12</v>
      </c>
      <c r="H36" s="9" t="s">
        <v>13</v>
      </c>
      <c r="I36" s="14" t="s">
        <v>14</v>
      </c>
    </row>
    <row r="37" spans="1:9" x14ac:dyDescent="0.3">
      <c r="A37" s="13" t="s">
        <v>63</v>
      </c>
      <c r="B37" s="10">
        <v>46128</v>
      </c>
      <c r="C37" s="11" t="s">
        <v>31</v>
      </c>
      <c r="D37" s="9" t="s">
        <v>10</v>
      </c>
      <c r="E37" s="9" t="s">
        <v>32</v>
      </c>
      <c r="F37" s="12">
        <v>11</v>
      </c>
      <c r="G37" s="9" t="s">
        <v>19</v>
      </c>
      <c r="H37" s="9" t="s">
        <v>13</v>
      </c>
      <c r="I37" s="14" t="s">
        <v>33</v>
      </c>
    </row>
    <row r="38" spans="1:9" x14ac:dyDescent="0.3">
      <c r="A38" s="13" t="s">
        <v>64</v>
      </c>
      <c r="B38" s="10">
        <v>46131</v>
      </c>
      <c r="C38" s="11" t="s">
        <v>16</v>
      </c>
      <c r="D38" s="9" t="s">
        <v>26</v>
      </c>
      <c r="E38" s="9" t="s">
        <v>18</v>
      </c>
      <c r="F38" s="12">
        <v>29</v>
      </c>
      <c r="G38" s="9" t="s">
        <v>19</v>
      </c>
      <c r="H38" s="9" t="s">
        <v>13</v>
      </c>
      <c r="I38" s="14" t="s">
        <v>20</v>
      </c>
    </row>
    <row r="39" spans="1:9" x14ac:dyDescent="0.3">
      <c r="A39" s="13" t="s">
        <v>65</v>
      </c>
      <c r="B39" s="10">
        <v>46134</v>
      </c>
      <c r="C39" s="11" t="s">
        <v>22</v>
      </c>
      <c r="D39" s="9" t="s">
        <v>10</v>
      </c>
      <c r="E39" s="9" t="s">
        <v>11</v>
      </c>
      <c r="F39" s="12">
        <v>69</v>
      </c>
      <c r="G39" s="9" t="s">
        <v>12</v>
      </c>
      <c r="H39" s="9" t="s">
        <v>13</v>
      </c>
      <c r="I39" s="14" t="s">
        <v>24</v>
      </c>
    </row>
    <row r="40" spans="1:9" x14ac:dyDescent="0.3">
      <c r="A40" s="13" t="s">
        <v>66</v>
      </c>
      <c r="B40" s="10">
        <v>46137</v>
      </c>
      <c r="C40" s="11" t="s">
        <v>9</v>
      </c>
      <c r="D40" s="9" t="s">
        <v>23</v>
      </c>
      <c r="E40" s="9" t="s">
        <v>18</v>
      </c>
      <c r="F40" s="12">
        <v>35</v>
      </c>
      <c r="G40" s="9" t="s">
        <v>19</v>
      </c>
      <c r="H40" s="9" t="s">
        <v>13</v>
      </c>
      <c r="I40" s="14" t="s">
        <v>14</v>
      </c>
    </row>
    <row r="41" spans="1:9" x14ac:dyDescent="0.3">
      <c r="A41" s="13" t="s">
        <v>67</v>
      </c>
      <c r="B41" s="10">
        <v>46140</v>
      </c>
      <c r="C41" s="11" t="s">
        <v>28</v>
      </c>
      <c r="D41" s="9" t="s">
        <v>17</v>
      </c>
      <c r="E41" s="9" t="s">
        <v>11</v>
      </c>
      <c r="F41" s="12">
        <v>66</v>
      </c>
      <c r="G41" s="9" t="s">
        <v>12</v>
      </c>
      <c r="H41" s="9" t="s">
        <v>13</v>
      </c>
      <c r="I41" s="14" t="s">
        <v>29</v>
      </c>
    </row>
    <row r="42" spans="1:9" x14ac:dyDescent="0.3">
      <c r="A42" s="13" t="s">
        <v>68</v>
      </c>
      <c r="B42" s="10">
        <v>46144</v>
      </c>
      <c r="C42" s="11" t="s">
        <v>9</v>
      </c>
      <c r="D42" s="9" t="s">
        <v>10</v>
      </c>
      <c r="E42" s="9" t="s">
        <v>11</v>
      </c>
      <c r="F42" s="12">
        <v>51</v>
      </c>
      <c r="G42" s="9" t="s">
        <v>12</v>
      </c>
      <c r="H42" s="9" t="s">
        <v>13</v>
      </c>
      <c r="I42" s="14" t="s">
        <v>14</v>
      </c>
    </row>
    <row r="43" spans="1:9" x14ac:dyDescent="0.3">
      <c r="A43" s="13" t="s">
        <v>69</v>
      </c>
      <c r="B43" s="10">
        <v>46147</v>
      </c>
      <c r="C43" s="11" t="s">
        <v>16</v>
      </c>
      <c r="D43" s="9" t="s">
        <v>17</v>
      </c>
      <c r="E43" s="9" t="s">
        <v>18</v>
      </c>
      <c r="F43" s="12">
        <v>27</v>
      </c>
      <c r="G43" s="9" t="s">
        <v>19</v>
      </c>
      <c r="H43" s="9" t="s">
        <v>13</v>
      </c>
      <c r="I43" s="14" t="s">
        <v>20</v>
      </c>
    </row>
    <row r="44" spans="1:9" x14ac:dyDescent="0.3">
      <c r="A44" s="13" t="s">
        <v>70</v>
      </c>
      <c r="B44" s="10">
        <v>46150</v>
      </c>
      <c r="C44" s="11" t="s">
        <v>22</v>
      </c>
      <c r="D44" s="9" t="s">
        <v>23</v>
      </c>
      <c r="E44" s="9" t="s">
        <v>11</v>
      </c>
      <c r="F44" s="12">
        <v>75</v>
      </c>
      <c r="G44" s="9" t="s">
        <v>12</v>
      </c>
      <c r="H44" s="9" t="s">
        <v>13</v>
      </c>
      <c r="I44" s="14" t="s">
        <v>24</v>
      </c>
    </row>
    <row r="45" spans="1:9" x14ac:dyDescent="0.3">
      <c r="A45" s="13" t="s">
        <v>71</v>
      </c>
      <c r="B45" s="10">
        <v>46153</v>
      </c>
      <c r="C45" s="11" t="s">
        <v>28</v>
      </c>
      <c r="D45" s="9" t="s">
        <v>26</v>
      </c>
      <c r="E45" s="9" t="s">
        <v>18</v>
      </c>
      <c r="F45" s="12">
        <v>41</v>
      </c>
      <c r="G45" s="9" t="s">
        <v>19</v>
      </c>
      <c r="H45" s="9" t="s">
        <v>13</v>
      </c>
      <c r="I45" s="14" t="s">
        <v>29</v>
      </c>
    </row>
    <row r="46" spans="1:9" x14ac:dyDescent="0.3">
      <c r="A46" s="13" t="s">
        <v>72</v>
      </c>
      <c r="B46" s="10">
        <v>46156</v>
      </c>
      <c r="C46" s="11" t="s">
        <v>9</v>
      </c>
      <c r="D46" s="9" t="s">
        <v>17</v>
      </c>
      <c r="E46" s="9" t="s">
        <v>11</v>
      </c>
      <c r="F46" s="12">
        <v>57</v>
      </c>
      <c r="G46" s="9" t="s">
        <v>12</v>
      </c>
      <c r="H46" s="9" t="s">
        <v>13</v>
      </c>
      <c r="I46" s="14" t="s">
        <v>14</v>
      </c>
    </row>
    <row r="47" spans="1:9" x14ac:dyDescent="0.3">
      <c r="A47" s="13" t="s">
        <v>73</v>
      </c>
      <c r="B47" s="10">
        <v>46159</v>
      </c>
      <c r="C47" s="11" t="s">
        <v>31</v>
      </c>
      <c r="D47" s="9" t="s">
        <v>10</v>
      </c>
      <c r="E47" s="9" t="s">
        <v>32</v>
      </c>
      <c r="F47" s="12">
        <v>13</v>
      </c>
      <c r="G47" s="9" t="s">
        <v>19</v>
      </c>
      <c r="H47" s="9" t="s">
        <v>13</v>
      </c>
      <c r="I47" s="14" t="s">
        <v>33</v>
      </c>
    </row>
    <row r="48" spans="1:9" x14ac:dyDescent="0.3">
      <c r="A48" s="13" t="s">
        <v>74</v>
      </c>
      <c r="B48" s="10">
        <v>46162</v>
      </c>
      <c r="C48" s="11" t="s">
        <v>16</v>
      </c>
      <c r="D48" s="9" t="s">
        <v>26</v>
      </c>
      <c r="E48" s="9" t="s">
        <v>18</v>
      </c>
      <c r="F48" s="12">
        <v>31</v>
      </c>
      <c r="G48" s="9" t="s">
        <v>19</v>
      </c>
      <c r="H48" s="9" t="s">
        <v>13</v>
      </c>
      <c r="I48" s="14" t="s">
        <v>20</v>
      </c>
    </row>
    <row r="49" spans="1:9" x14ac:dyDescent="0.3">
      <c r="A49" s="13" t="s">
        <v>75</v>
      </c>
      <c r="B49" s="10">
        <v>46165</v>
      </c>
      <c r="C49" s="11" t="s">
        <v>22</v>
      </c>
      <c r="D49" s="9" t="s">
        <v>10</v>
      </c>
      <c r="E49" s="9" t="s">
        <v>11</v>
      </c>
      <c r="F49" s="12">
        <v>81</v>
      </c>
      <c r="G49" s="9" t="s">
        <v>12</v>
      </c>
      <c r="H49" s="9" t="s">
        <v>13</v>
      </c>
      <c r="I49" s="14" t="s">
        <v>24</v>
      </c>
    </row>
    <row r="50" spans="1:9" x14ac:dyDescent="0.3">
      <c r="A50" s="13" t="s">
        <v>76</v>
      </c>
      <c r="B50" s="10">
        <v>46168</v>
      </c>
      <c r="C50" s="11" t="s">
        <v>9</v>
      </c>
      <c r="D50" s="9" t="s">
        <v>23</v>
      </c>
      <c r="E50" s="9" t="s">
        <v>18</v>
      </c>
      <c r="F50" s="12">
        <v>37</v>
      </c>
      <c r="G50" s="9" t="s">
        <v>19</v>
      </c>
      <c r="H50" s="9" t="s">
        <v>13</v>
      </c>
      <c r="I50" s="14" t="s">
        <v>14</v>
      </c>
    </row>
    <row r="51" spans="1:9" ht="15" thickBot="1" x14ac:dyDescent="0.35">
      <c r="A51" s="15" t="s">
        <v>77</v>
      </c>
      <c r="B51" s="16">
        <v>46171</v>
      </c>
      <c r="C51" s="17" t="s">
        <v>28</v>
      </c>
      <c r="D51" s="18" t="s">
        <v>17</v>
      </c>
      <c r="E51" s="18" t="s">
        <v>11</v>
      </c>
      <c r="F51" s="19">
        <v>63</v>
      </c>
      <c r="G51" s="18" t="s">
        <v>12</v>
      </c>
      <c r="H51" s="18" t="s">
        <v>13</v>
      </c>
      <c r="I51" s="2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0EAB-493A-46EE-BB08-0EAB9B04530E}">
  <dimension ref="A1:T7"/>
  <sheetViews>
    <sheetView workbookViewId="0">
      <selection activeCell="P13" sqref="P13"/>
    </sheetView>
  </sheetViews>
  <sheetFormatPr defaultRowHeight="14.4" x14ac:dyDescent="0.3"/>
  <cols>
    <col min="1" max="1" width="30" customWidth="1"/>
    <col min="2" max="2" width="22.5546875" customWidth="1"/>
    <col min="4" max="4" width="18.44140625" customWidth="1"/>
    <col min="5" max="5" width="21.6640625" customWidth="1"/>
    <col min="7" max="7" width="17.33203125" customWidth="1"/>
    <col min="8" max="8" width="18" customWidth="1"/>
    <col min="10" max="10" width="10.77734375" customWidth="1"/>
    <col min="11" max="11" width="23.44140625" customWidth="1"/>
    <col min="13" max="13" width="25.109375" customWidth="1"/>
    <col min="14" max="14" width="18.33203125" customWidth="1"/>
    <col min="16" max="16" width="26.5546875" customWidth="1"/>
    <col min="17" max="17" width="17.6640625" customWidth="1"/>
    <col min="19" max="19" width="23.21875" customWidth="1"/>
    <col min="20" max="20" width="23.44140625" customWidth="1"/>
  </cols>
  <sheetData>
    <row r="1" spans="1:20" x14ac:dyDescent="0.3">
      <c r="A1" s="8" t="s">
        <v>79</v>
      </c>
      <c r="B1" s="8" t="s">
        <v>80</v>
      </c>
      <c r="D1" s="8" t="s">
        <v>1</v>
      </c>
      <c r="E1" s="8" t="s">
        <v>86</v>
      </c>
      <c r="G1" s="8" t="s">
        <v>2</v>
      </c>
      <c r="H1" s="8" t="s">
        <v>86</v>
      </c>
      <c r="J1" s="8" t="s">
        <v>3</v>
      </c>
      <c r="K1" s="8" t="s">
        <v>87</v>
      </c>
      <c r="M1" s="8" t="s">
        <v>88</v>
      </c>
      <c r="N1" s="8" t="s">
        <v>80</v>
      </c>
      <c r="P1" s="32" t="s">
        <v>91</v>
      </c>
      <c r="Q1" s="32"/>
      <c r="S1" s="32" t="s">
        <v>93</v>
      </c>
      <c r="T1" s="32"/>
    </row>
    <row r="2" spans="1:20" x14ac:dyDescent="0.3">
      <c r="A2" s="9" t="s">
        <v>81</v>
      </c>
      <c r="B2" s="12">
        <f>COUNTA('Raw Data'!A2:A51)</f>
        <v>50</v>
      </c>
      <c r="D2" s="9" t="s">
        <v>9</v>
      </c>
      <c r="E2" s="11">
        <f>COUNTIF('Raw Data'!$C$2:$C$51,D2)</f>
        <v>15</v>
      </c>
      <c r="G2" s="11" t="s">
        <v>10</v>
      </c>
      <c r="H2" s="12">
        <f>COUNTIF('Raw Data'!$D$2:$D$51,G2)</f>
        <v>15</v>
      </c>
      <c r="J2" s="9" t="s">
        <v>11</v>
      </c>
      <c r="K2" s="31">
        <f>AVERAGEIF('Raw Data'!$E$2:$E$51,J2,'Raw Data'!$F$2:$F$51)</f>
        <v>64.115384615384613</v>
      </c>
      <c r="M2" s="9" t="s">
        <v>89</v>
      </c>
      <c r="N2" s="30">
        <f>COUNTIF('Raw Data'!$H$2:$H$51,"Resolved")/COUNTA('Raw Data'!$A$2:$A$51)</f>
        <v>1</v>
      </c>
      <c r="P2" s="8" t="s">
        <v>92</v>
      </c>
      <c r="Q2" s="8" t="s">
        <v>86</v>
      </c>
      <c r="S2" s="8" t="s">
        <v>94</v>
      </c>
      <c r="T2" s="8" t="s">
        <v>86</v>
      </c>
    </row>
    <row r="3" spans="1:20" x14ac:dyDescent="0.3">
      <c r="A3" s="9" t="s">
        <v>82</v>
      </c>
      <c r="B3" s="12">
        <f>AVERAGE('Raw Data'!F2:F51)</f>
        <v>46.4</v>
      </c>
      <c r="D3" s="9" t="s">
        <v>16</v>
      </c>
      <c r="E3" s="11">
        <f>COUNTIF('Raw Data'!$C$2:$C$51,D3)</f>
        <v>10</v>
      </c>
      <c r="G3" s="11" t="s">
        <v>17</v>
      </c>
      <c r="H3" s="12">
        <f>COUNTIF('Raw Data'!$D$2:$D$51,G3)</f>
        <v>15</v>
      </c>
      <c r="J3" s="9" t="s">
        <v>18</v>
      </c>
      <c r="K3" s="31">
        <f>AVERAGEIF('Raw Data'!$E$2:$E$51,J3,'Raw Data'!$F$2:$F$51)</f>
        <v>32.055555555555557</v>
      </c>
      <c r="P3" s="33">
        <v>46023</v>
      </c>
      <c r="Q3" s="12">
        <f>COUNTIFS('Raw Data'!$B$2:$B$51,"&gt;="&amp;DATE(2026,1,1),'Raw Data'!$B$2:$B$51,"&lt;"&amp;DATE(2026,2,1))</f>
        <v>10</v>
      </c>
      <c r="S3" s="9" t="s">
        <v>14</v>
      </c>
      <c r="T3" s="12">
        <f>COUNTIF('Raw Data'!$I$2:$I$51,S3)</f>
        <v>15</v>
      </c>
    </row>
    <row r="4" spans="1:20" x14ac:dyDescent="0.3">
      <c r="A4" s="9" t="s">
        <v>83</v>
      </c>
      <c r="B4" s="12">
        <f>COUNTIF('Raw Data'!E2:E51,"High")</f>
        <v>26</v>
      </c>
      <c r="D4" s="9" t="s">
        <v>22</v>
      </c>
      <c r="E4" s="11">
        <f>COUNTIF('Raw Data'!$C$2:$C$51,D4)</f>
        <v>10</v>
      </c>
      <c r="G4" s="11" t="s">
        <v>23</v>
      </c>
      <c r="H4" s="12">
        <f>COUNTIF('Raw Data'!$D$2:$D$51,G4)</f>
        <v>10</v>
      </c>
      <c r="J4" s="9" t="s">
        <v>32</v>
      </c>
      <c r="K4" s="31">
        <f>AVERAGEIF('Raw Data'!$E$2:$E$51,J4,'Raw Data'!$F$2:$F$51)</f>
        <v>12.666666666666666</v>
      </c>
      <c r="P4" s="33">
        <v>46054</v>
      </c>
      <c r="Q4" s="12">
        <f>COUNTIFS('Raw Data'!$B$2:$B$51,"&gt;="&amp;DATE(2026,2,1),'Raw Data'!$B$2:$B$51,"&lt;"&amp;DATE(2026,3,1))</f>
        <v>10</v>
      </c>
      <c r="S4" s="9" t="s">
        <v>20</v>
      </c>
      <c r="T4" s="12">
        <f>COUNTIF('Raw Data'!$I$2:$I$51,S4)</f>
        <v>10</v>
      </c>
    </row>
    <row r="5" spans="1:20" x14ac:dyDescent="0.3">
      <c r="A5" s="9" t="s">
        <v>84</v>
      </c>
      <c r="B5" s="30">
        <f>COUNTIF('Raw Data'!G2:G51,"Yes")/COUNTA('Raw Data'!A2:A51)</f>
        <v>0.52</v>
      </c>
      <c r="D5" s="9" t="s">
        <v>28</v>
      </c>
      <c r="E5" s="11">
        <f>COUNTIF('Raw Data'!$C$2:$C$51,D5)</f>
        <v>9</v>
      </c>
      <c r="G5" s="11" t="s">
        <v>26</v>
      </c>
      <c r="H5" s="12">
        <f>COUNTIF('Raw Data'!$D$2:$D$51,G5)</f>
        <v>10</v>
      </c>
      <c r="P5" s="33">
        <v>46082</v>
      </c>
      <c r="Q5" s="12">
        <f>COUNTIFS('Raw Data'!$B$2:$B$51,"&gt;="&amp;DATE(2026,3,1),'Raw Data'!$B$2:$B$51,"&lt;"&amp;DATE(2026,4,1))</f>
        <v>10</v>
      </c>
      <c r="S5" s="9" t="s">
        <v>24</v>
      </c>
      <c r="T5" s="12">
        <f>COUNTIF('Raw Data'!$I$2:$I$51,S5)</f>
        <v>10</v>
      </c>
    </row>
    <row r="6" spans="1:20" x14ac:dyDescent="0.3">
      <c r="A6" s="9" t="s">
        <v>85</v>
      </c>
      <c r="B6" s="12">
        <f>COUNTIF('Raw Data'!H2:H51,"Resolved")</f>
        <v>50</v>
      </c>
      <c r="D6" s="9" t="s">
        <v>31</v>
      </c>
      <c r="E6" s="11">
        <f>COUNTIF('Raw Data'!$C$2:$C$51,D6)</f>
        <v>6</v>
      </c>
      <c r="P6" s="33">
        <v>46113</v>
      </c>
      <c r="Q6" s="12">
        <f>COUNTIFS('Raw Data'!$B$2:$B$51,"&gt;="&amp;DATE(2026,4,1),'Raw Data'!$B$2:$B$51,"&lt;"&amp;DATE(2026,5,1))</f>
        <v>10</v>
      </c>
      <c r="S6" s="9" t="s">
        <v>29</v>
      </c>
      <c r="T6" s="12">
        <f>COUNTIF('Raw Data'!$I$2:$I$51,S6)</f>
        <v>9</v>
      </c>
    </row>
    <row r="7" spans="1:20" x14ac:dyDescent="0.3">
      <c r="P7" s="33">
        <v>46143</v>
      </c>
      <c r="Q7" s="12">
        <f>COUNTIFS('Raw Data'!$B$2:$B$51,"&gt;="&amp;DATE(2026,5,1),'Raw Data'!$B$2:$B$51,"&lt;"&amp;DATE(2026,6,1))</f>
        <v>10</v>
      </c>
      <c r="S7" s="9" t="s">
        <v>33</v>
      </c>
      <c r="T7" s="12">
        <f>COUNTIF('Raw Data'!$I$2:$I$51,S7)</f>
        <v>6</v>
      </c>
    </row>
  </sheetData>
  <mergeCells count="2">
    <mergeCell ref="P1:Q1"/>
    <mergeCell ref="S1:T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E146-D136-46B4-8114-60AEA8414B7E}">
  <dimension ref="B2:J5"/>
  <sheetViews>
    <sheetView showGridLines="0" tabSelected="1" topLeftCell="F3" zoomScale="85" zoomScaleNormal="100" workbookViewId="0">
      <selection activeCell="T14" sqref="T14"/>
    </sheetView>
  </sheetViews>
  <sheetFormatPr defaultRowHeight="14.4" x14ac:dyDescent="0.3"/>
  <cols>
    <col min="2" max="2" width="30.109375" customWidth="1"/>
    <col min="3" max="3" width="10.6640625" customWidth="1"/>
    <col min="4" max="4" width="40.88671875" customWidth="1"/>
    <col min="5" max="5" width="8.88671875" customWidth="1"/>
    <col min="6" max="6" width="42" customWidth="1"/>
    <col min="7" max="7" width="8.88671875" customWidth="1"/>
    <col min="8" max="8" width="32.77734375" customWidth="1"/>
    <col min="9" max="9" width="8.88671875" customWidth="1"/>
    <col min="10" max="10" width="40.5546875" customWidth="1"/>
    <col min="11" max="13" width="8.88671875" customWidth="1"/>
    <col min="15" max="15" width="8.88671875" customWidth="1"/>
  </cols>
  <sheetData>
    <row r="2" spans="2:10" ht="30" customHeight="1" x14ac:dyDescent="0.65">
      <c r="B2" s="7" t="s">
        <v>90</v>
      </c>
      <c r="C2" s="7"/>
      <c r="D2" s="7"/>
      <c r="E2" s="7"/>
      <c r="F2" s="7"/>
      <c r="G2" s="7"/>
      <c r="H2" s="7"/>
      <c r="I2" s="7"/>
      <c r="J2" s="7"/>
    </row>
    <row r="4" spans="2:10" ht="24" customHeight="1" x14ac:dyDescent="0.3">
      <c r="B4" s="1" t="s">
        <v>81</v>
      </c>
      <c r="D4" s="2" t="s">
        <v>87</v>
      </c>
      <c r="F4" s="3" t="s">
        <v>83</v>
      </c>
      <c r="H4" s="4" t="s">
        <v>84</v>
      </c>
      <c r="J4" s="5" t="s">
        <v>85</v>
      </c>
    </row>
    <row r="5" spans="2:10" ht="31.95" customHeight="1" x14ac:dyDescent="0.3">
      <c r="B5" s="1">
        <f>Calculations!B2</f>
        <v>50</v>
      </c>
      <c r="D5" s="2">
        <f>Calculations!B3</f>
        <v>46.4</v>
      </c>
      <c r="F5" s="3">
        <f>Calculations!B4</f>
        <v>26</v>
      </c>
      <c r="H5" s="6">
        <f>Calculations!B5</f>
        <v>0.52</v>
      </c>
      <c r="J5" s="5">
        <f>Calculations!B6</f>
        <v>50</v>
      </c>
    </row>
  </sheetData>
  <mergeCells count="1">
    <mergeCell ref="B2:J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 Shravani A</dc:creator>
  <cp:lastModifiedBy>Lakshmi  Shravani A</cp:lastModifiedBy>
  <dcterms:created xsi:type="dcterms:W3CDTF">2026-10-03T20:25:44Z</dcterms:created>
  <dcterms:modified xsi:type="dcterms:W3CDTF">2026-10-05T00:37:42Z</dcterms:modified>
</cp:coreProperties>
</file>